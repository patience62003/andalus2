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Scenarios" sheetId="2" r:id="rId2"/>
    <sheet name="Phasing" sheetId="3" r:id="rId3"/>
    <sheet name="Quote_Notes" sheetId="4" r:id="rId4"/>
  </sheets>
  <calcPr calcId="124519" fullCalcOnLoad="1"/>
</workbook>
</file>

<file path=xl/sharedStrings.xml><?xml version="1.0" encoding="utf-8"?>
<sst xmlns="http://schemas.openxmlformats.org/spreadsheetml/2006/main" count="108" uniqueCount="78">
  <si>
    <t>Karmod Cost Calculator v2 — Inputs (unbranded)</t>
  </si>
  <si>
    <t>Date:</t>
  </si>
  <si>
    <t>2025-11-01</t>
  </si>
  <si>
    <t>USD→MAD reference</t>
  </si>
  <si>
    <t>Project contingency</t>
  </si>
  <si>
    <t>Total cabins target</t>
  </si>
  <si>
    <t>Cabin Types</t>
  </si>
  <si>
    <t>Type</t>
  </si>
  <si>
    <t>Unit Price (USD)</t>
  </si>
  <si>
    <t>Weight (kg)</t>
  </si>
  <si>
    <t>HS Code</t>
  </si>
  <si>
    <t>Count (manual)</t>
  </si>
  <si>
    <t>Guard room 390×870 (2WC+2Shwr)</t>
  </si>
  <si>
    <t>940690100000</t>
  </si>
  <si>
    <t>Classroom 390×390 standard</t>
  </si>
  <si>
    <t>Per-cabin adders (USD): Low / Medium / High</t>
  </si>
  <si>
    <t>Component</t>
  </si>
  <si>
    <t>Low</t>
  </si>
  <si>
    <t>Medium</t>
  </si>
  <si>
    <t>High</t>
  </si>
  <si>
    <t>Shipping &amp; local logistics (per cabin)</t>
  </si>
  <si>
    <t>Import taxes &amp; fees (per cabin, est.)</t>
  </si>
  <si>
    <t>Foundations &amp; pads</t>
  </si>
  <si>
    <t>Assembly labor (set/bolt)</t>
  </si>
  <si>
    <t>MEP tie-ins (power/water)</t>
  </si>
  <si>
    <t>Furnishings &amp; equipment</t>
  </si>
  <si>
    <t>Siteworks &amp; utilities avg</t>
  </si>
  <si>
    <t>Land plug-in (enter only if you want to include land)</t>
  </si>
  <si>
    <t>Variable</t>
  </si>
  <si>
    <t>Value</t>
  </si>
  <si>
    <t>Example / Note</t>
  </si>
  <si>
    <t>Land area (m²)</t>
  </si>
  <si>
    <t>e.g., 20,000 m²</t>
  </si>
  <si>
    <t>Price (MAD per m²)</t>
  </si>
  <si>
    <t>e.g., 1,200 MAD/m²</t>
  </si>
  <si>
    <t>Land cost (MAD)</t>
  </si>
  <si>
    <t>auto-calculated</t>
  </si>
  <si>
    <t>Notes:</t>
  </si>
  <si>
    <t>• Counts default to 480 total (guard count is manual; classroom count auto-fills to hit 480). • Replace adders with real quotes for your site. • Import/VAT varies—confirm with Moroccan customs/CPA. • HS code provided by vendor: 940690100000.</t>
  </si>
  <si>
    <t>Cost Model v2 (Karmod) — Scenarios (USD &amp; MAD)</t>
  </si>
  <si>
    <t>Assumption: total cabins</t>
  </si>
  <si>
    <t>USD→MAD</t>
  </si>
  <si>
    <t>Contingency</t>
  </si>
  <si>
    <t>Count</t>
  </si>
  <si>
    <t>Guard room</t>
  </si>
  <si>
    <t>Classroom 390×390</t>
  </si>
  <si>
    <t>Total units</t>
  </si>
  <si>
    <t>Adders per cabin</t>
  </si>
  <si>
    <t>Total adders</t>
  </si>
  <si>
    <t>Per-cabin totals by type (USD)</t>
  </si>
  <si>
    <t>Scenario</t>
  </si>
  <si>
    <t>Classroom</t>
  </si>
  <si>
    <t>Weighted avg</t>
  </si>
  <si>
    <t>Project totals (USD, excl. land)</t>
  </si>
  <si>
    <t>Core totals (MAD, excl. land)</t>
  </si>
  <si>
    <t>Combined total (MAD)</t>
  </si>
  <si>
    <t>(Uses Medium scenario for combined calc)</t>
  </si>
  <si>
    <t>Phasing (enter cabins per year by type; all scenarios computed)</t>
  </si>
  <si>
    <t>Years shown</t>
  </si>
  <si>
    <t>3 (default 160/yr to reach 480)</t>
  </si>
  <si>
    <t>Y1</t>
  </si>
  <si>
    <t>Y2</t>
  </si>
  <si>
    <t>Y3</t>
  </si>
  <si>
    <t>Total</t>
  </si>
  <si>
    <t>Totals</t>
  </si>
  <si>
    <t>Target</t>
  </si>
  <si>
    <t>Totals by Scenario (USD, excl. land)</t>
  </si>
  <si>
    <t>Y1 total</t>
  </si>
  <si>
    <t>Y2 total</t>
  </si>
  <si>
    <t>Y3 total</t>
  </si>
  <si>
    <t>3-year total</t>
  </si>
  <si>
    <t>MAD (Medium scenario)</t>
  </si>
  <si>
    <t>Vendor Inputs (from your conversation)</t>
  </si>
  <si>
    <t>Guard room 390×870 + 2 WC + 2 shower: 8,627 USD</t>
  </si>
  <si>
    <t>Weight: 3,500 kg | HS CODE: 940690100000</t>
  </si>
  <si>
    <t>Loading address: Orta Mah. Oguzhan Cad. Keban Sok. No: 4 / Orhanlı / Tuzla / İstanbul / TURKEY</t>
  </si>
  <si>
    <t>Classroom 390×390 standard cabin: 4,490 USD</t>
  </si>
  <si>
    <t>Note: Shipping can be organized via local agents for better pricing (per vendor).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</si>
</sst>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#,##0"/>
    <numFmt numFmtId="166" formatCode="$#,##0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1" xfId="0" applyNumberFormat="1" applyBorder="1"/>
    <xf numFmtId="165" fontId="0" fillId="0" borderId="1" xfId="0" applyNumberFormat="1" applyBorder="1"/>
    <xf numFmtId="0" fontId="2" fillId="2" borderId="1" xfId="0" applyFont="1" applyFill="1" applyBorder="1"/>
    <xf numFmtId="166" fontId="0" fillId="0" borderId="1" xfId="0" applyNumberFormat="1" applyBorder="1"/>
    <xf numFmtId="0" fontId="0" fillId="0" borderId="1" xfId="0" applyBorder="1"/>
    <xf numFmtId="0" fontId="3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cols>
    <col min="1" max="1" width="38.7109375" customWidth="1"/>
    <col min="2" max="2" width="22.7109375" customWidth="1"/>
    <col min="3" max="3" width="16.7109375" customWidth="1"/>
    <col min="4" max="5" width="18.7109375" customWidth="1"/>
  </cols>
  <sheetData>
    <row r="1" spans="1:5">
      <c r="A1" s="1" t="s">
        <v>0</v>
      </c>
    </row>
    <row r="2" spans="1:5">
      <c r="A2" t="s">
        <v>1</v>
      </c>
      <c r="B2" t="s">
        <v>2</v>
      </c>
    </row>
    <row r="3" spans="1:5">
      <c r="A3" t="s">
        <v>3</v>
      </c>
      <c r="B3">
        <v>9.23</v>
      </c>
    </row>
    <row r="4" spans="1:5">
      <c r="A4" t="s">
        <v>4</v>
      </c>
      <c r="B4" s="2">
        <v>0.1</v>
      </c>
    </row>
    <row r="5" spans="1:5">
      <c r="A5" t="s">
        <v>5</v>
      </c>
      <c r="B5" s="3">
        <v>480</v>
      </c>
    </row>
    <row r="7" spans="1:5">
      <c r="A7" s="4" t="s">
        <v>6</v>
      </c>
    </row>
    <row r="8" spans="1:5">
      <c r="A8" s="4" t="s">
        <v>7</v>
      </c>
      <c r="B8" s="4" t="s">
        <v>8</v>
      </c>
      <c r="C8" s="4" t="s">
        <v>9</v>
      </c>
      <c r="D8" s="4" t="s">
        <v>10</v>
      </c>
      <c r="E8" s="4" t="s">
        <v>11</v>
      </c>
    </row>
    <row r="9" spans="1:5">
      <c r="A9" t="s">
        <v>12</v>
      </c>
      <c r="B9" s="5">
        <v>8627</v>
      </c>
      <c r="C9" s="3">
        <v>3500</v>
      </c>
      <c r="D9" t="s">
        <v>13</v>
      </c>
      <c r="E9" s="3">
        <v>1</v>
      </c>
    </row>
    <row r="10" spans="1:5">
      <c r="A10" t="s">
        <v>14</v>
      </c>
      <c r="B10" s="5">
        <v>4490</v>
      </c>
      <c r="C10" s="6"/>
      <c r="D10" t="s">
        <v>13</v>
      </c>
      <c r="E10" s="3">
        <f>MAX(0,$B$5 - E9)</f>
        <v>0</v>
      </c>
    </row>
    <row r="12" spans="1:5">
      <c r="A12" s="4" t="s">
        <v>15</v>
      </c>
    </row>
    <row r="13" spans="1:5">
      <c r="A13" s="4" t="s">
        <v>16</v>
      </c>
      <c r="B13" s="4" t="s">
        <v>17</v>
      </c>
      <c r="C13" s="4" t="s">
        <v>18</v>
      </c>
      <c r="D13" s="4" t="s">
        <v>19</v>
      </c>
    </row>
    <row r="14" spans="1:5">
      <c r="A14" s="6" t="s">
        <v>20</v>
      </c>
      <c r="B14" s="5">
        <v>1200</v>
      </c>
      <c r="C14" s="5">
        <v>1800</v>
      </c>
      <c r="D14" s="5">
        <v>2400</v>
      </c>
    </row>
    <row r="15" spans="1:5">
      <c r="A15" s="6" t="s">
        <v>21</v>
      </c>
      <c r="B15" s="5">
        <v>2000</v>
      </c>
      <c r="C15" s="5">
        <v>2800</v>
      </c>
      <c r="D15" s="5">
        <v>3600</v>
      </c>
    </row>
    <row r="16" spans="1:5">
      <c r="A16" s="6" t="s">
        <v>22</v>
      </c>
      <c r="B16" s="5">
        <v>1200</v>
      </c>
      <c r="C16" s="5">
        <v>1800</v>
      </c>
      <c r="D16" s="5">
        <v>2600</v>
      </c>
    </row>
    <row r="17" spans="1:5">
      <c r="A17" s="6" t="s">
        <v>23</v>
      </c>
      <c r="B17" s="5">
        <v>900</v>
      </c>
      <c r="C17" s="5">
        <v>1400</v>
      </c>
      <c r="D17" s="5">
        <v>2200</v>
      </c>
    </row>
    <row r="18" spans="1:5">
      <c r="A18" s="6" t="s">
        <v>24</v>
      </c>
      <c r="B18" s="5">
        <v>1400</v>
      </c>
      <c r="C18" s="5">
        <v>2100</v>
      </c>
      <c r="D18" s="5">
        <v>3200</v>
      </c>
    </row>
    <row r="19" spans="1:5">
      <c r="A19" s="6" t="s">
        <v>25</v>
      </c>
      <c r="B19" s="5">
        <v>1200</v>
      </c>
      <c r="C19" s="5">
        <v>2000</v>
      </c>
      <c r="D19" s="5">
        <v>3000</v>
      </c>
    </row>
    <row r="20" spans="1:5">
      <c r="A20" s="6" t="s">
        <v>26</v>
      </c>
      <c r="B20" s="5">
        <v>1500</v>
      </c>
      <c r="C20" s="5">
        <v>2500</v>
      </c>
      <c r="D20" s="5">
        <v>4000</v>
      </c>
    </row>
    <row r="22" spans="1:5">
      <c r="A22" s="4" t="s">
        <v>27</v>
      </c>
    </row>
    <row r="23" spans="1:5">
      <c r="A23" t="s">
        <v>31</v>
      </c>
      <c r="B23" s="6"/>
      <c r="C23" s="7" t="s">
        <v>32</v>
      </c>
    </row>
    <row r="24" spans="1:5">
      <c r="A24" t="s">
        <v>33</v>
      </c>
      <c r="B24" s="6"/>
      <c r="C24" s="7" t="s">
        <v>34</v>
      </c>
    </row>
    <row r="25" spans="1:5">
      <c r="A25" t="s">
        <v>35</v>
      </c>
      <c r="B25" s="3">
        <f>IF(OR(B23="",B24=""),"",B23*B24)</f>
        <v>0</v>
      </c>
      <c r="C25" s="7" t="s">
        <v>36</v>
      </c>
    </row>
    <row r="27" spans="1:5">
      <c r="A27" s="4" t="s">
        <v>37</v>
      </c>
    </row>
    <row r="28" spans="1:5">
      <c r="A28" s="8" t="s">
        <v>38</v>
      </c>
      <c r="B28" s="8"/>
      <c r="C28" s="8"/>
      <c r="D28" s="8"/>
      <c r="E28" s="8"/>
    </row>
    <row r="29" spans="1:5">
      <c r="A29" s="8"/>
      <c r="B29" s="8"/>
      <c r="C29" s="8"/>
      <c r="D29" s="8"/>
      <c r="E29" s="8"/>
    </row>
    <row r="30" spans="1:5">
      <c r="A30" s="8"/>
      <c r="B30" s="8"/>
      <c r="C30" s="8"/>
      <c r="D30" s="8"/>
      <c r="E30" s="8"/>
    </row>
    <row r="31" spans="1:5">
      <c r="A31" s="8"/>
      <c r="B31" s="8"/>
      <c r="C31" s="8"/>
      <c r="D31" s="8"/>
      <c r="E31" s="8"/>
    </row>
  </sheetData>
  <mergeCells count="1">
    <mergeCell ref="A28:E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cols>
    <col min="1" max="1" width="28.7109375" customWidth="1"/>
    <col min="2" max="4" width="16.7109375" customWidth="1"/>
    <col min="5" max="5" width="20.7109375" customWidth="1"/>
    <col min="6" max="7" width="22.7109375" customWidth="1"/>
  </cols>
  <sheetData>
    <row r="1" spans="1:8">
      <c r="A1" s="1" t="s">
        <v>39</v>
      </c>
    </row>
    <row r="2" spans="1:8">
      <c r="A2" t="s">
        <v>1</v>
      </c>
      <c r="B2" t="s">
        <v>2</v>
      </c>
    </row>
    <row r="3" spans="1:8">
      <c r="A3" t="s">
        <v>40</v>
      </c>
      <c r="B3" s="3">
        <f>Inputs!B5</f>
        <v>0</v>
      </c>
    </row>
    <row r="4" spans="1:8">
      <c r="A4" t="s">
        <v>41</v>
      </c>
      <c r="B4" s="3">
        <f>Inputs!B3</f>
        <v>0</v>
      </c>
    </row>
    <row r="5" spans="1:8">
      <c r="A5" t="s">
        <v>42</v>
      </c>
      <c r="B5" s="2">
        <f>Inputs!B4</f>
        <v>0</v>
      </c>
    </row>
    <row r="7" spans="1:8">
      <c r="A7" s="4" t="s">
        <v>7</v>
      </c>
      <c r="B7" s="4" t="s">
        <v>8</v>
      </c>
      <c r="C7" s="4" t="s">
        <v>43</v>
      </c>
      <c r="E7" s="4" t="s">
        <v>47</v>
      </c>
      <c r="F7" s="4" t="s">
        <v>17</v>
      </c>
      <c r="G7" s="4" t="s">
        <v>18</v>
      </c>
      <c r="H7" s="4" t="s">
        <v>19</v>
      </c>
    </row>
    <row r="8" spans="1:8">
      <c r="A8" t="s">
        <v>44</v>
      </c>
      <c r="B8" s="5">
        <f>Inputs!B9</f>
        <v>0</v>
      </c>
      <c r="C8" s="3">
        <f>Inputs!E9</f>
        <v>0</v>
      </c>
      <c r="E8" t="s">
        <v>48</v>
      </c>
      <c r="F8" s="5">
        <f>SUM(Inputs!B13:B19)</f>
        <v>0</v>
      </c>
      <c r="G8" s="5">
        <f>SUM(Inputs!C13:C19)</f>
        <v>0</v>
      </c>
      <c r="H8" s="5">
        <f>SUM(Inputs!D13:D19)</f>
        <v>0</v>
      </c>
    </row>
    <row r="9" spans="1:8">
      <c r="A9" t="s">
        <v>45</v>
      </c>
      <c r="B9" s="5">
        <f>Inputs!B10</f>
        <v>0</v>
      </c>
      <c r="C9" s="3">
        <f>Inputs!E10</f>
        <v>0</v>
      </c>
    </row>
    <row r="10" spans="1:8">
      <c r="A10" t="s">
        <v>46</v>
      </c>
      <c r="C10" s="3">
        <f>SUM(C8:C9)</f>
        <v>0</v>
      </c>
    </row>
    <row r="12" spans="1:8">
      <c r="A12" s="4" t="s">
        <v>49</v>
      </c>
    </row>
    <row r="13" spans="1:8">
      <c r="A13" t="s">
        <v>50</v>
      </c>
      <c r="B13" t="s">
        <v>44</v>
      </c>
      <c r="C13" t="s">
        <v>51</v>
      </c>
      <c r="D13" t="s">
        <v>52</v>
      </c>
    </row>
    <row r="14" spans="1:8">
      <c r="A14" t="s">
        <v>17</v>
      </c>
      <c r="B14" s="5">
        <f>B8 + F8</f>
        <v>0</v>
      </c>
      <c r="C14" s="5">
        <f>B9 + F8</f>
        <v>0</v>
      </c>
      <c r="D14" s="5">
        <f>(B14*C8 + C14*C9)/C10</f>
        <v>0</v>
      </c>
    </row>
    <row r="15" spans="1:8">
      <c r="A15" t="s">
        <v>18</v>
      </c>
      <c r="B15" s="5">
        <f>B8 + G8</f>
        <v>0</v>
      </c>
      <c r="C15" s="5">
        <f>B9 + G8</f>
        <v>0</v>
      </c>
      <c r="D15" s="5">
        <f>(B15*C8 + C15*C9)/C10</f>
        <v>0</v>
      </c>
    </row>
    <row r="16" spans="1:8">
      <c r="A16" t="s">
        <v>19</v>
      </c>
      <c r="B16" s="5">
        <f>B8 + H8</f>
        <v>0</v>
      </c>
      <c r="C16" s="5">
        <f>B9 + H8</f>
        <v>0</v>
      </c>
      <c r="D16" s="5">
        <f>(B16*C8 + C16*C9)/C10</f>
        <v>0</v>
      </c>
    </row>
    <row r="18" spans="1:7">
      <c r="A18" s="4" t="s">
        <v>53</v>
      </c>
      <c r="B18" s="4" t="s">
        <v>17</v>
      </c>
      <c r="C18" s="4" t="s">
        <v>18</v>
      </c>
      <c r="D18" s="4" t="s">
        <v>19</v>
      </c>
      <c r="F18" s="4" t="s">
        <v>35</v>
      </c>
      <c r="G18" s="3">
        <f>Inputs!B25</f>
        <v>0</v>
      </c>
    </row>
    <row r="19" spans="1:7">
      <c r="B19" s="5">
        <f>(B14*C8 + C14*C9) * (1 + $B$5)</f>
        <v>0</v>
      </c>
      <c r="C19" s="5">
        <f>(B15*C8 + C15*C9) * (1 + $B$5)</f>
        <v>0</v>
      </c>
      <c r="D19" s="5">
        <f>(B16*C8 + C16*C9) * (1 + $B$5)</f>
        <v>0</v>
      </c>
      <c r="F19" s="4" t="s">
        <v>55</v>
      </c>
      <c r="G19" s="3">
        <f>IF(G18="","", G18 + C22)</f>
        <v>0</v>
      </c>
    </row>
    <row r="20" spans="1:7">
      <c r="F20" s="7" t="s">
        <v>56</v>
      </c>
    </row>
    <row r="21" spans="1:7">
      <c r="A21" s="4" t="s">
        <v>54</v>
      </c>
      <c r="B21" s="4" t="s">
        <v>17</v>
      </c>
      <c r="C21" s="4" t="s">
        <v>18</v>
      </c>
      <c r="D21" s="4" t="s">
        <v>19</v>
      </c>
    </row>
    <row r="22" spans="1:7">
      <c r="B22" s="3">
        <f>B19 * $B$4</f>
        <v>0</v>
      </c>
      <c r="C22" s="3">
        <f>C19 * $B$4</f>
        <v>0</v>
      </c>
      <c r="D22" s="3">
        <f>D19 * $B$4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cols>
    <col min="1" max="1" width="20.7109375" customWidth="1"/>
    <col min="2" max="5" width="16.7109375" customWidth="1"/>
    <col min="7" max="10" width="16.7109375" customWidth="1"/>
  </cols>
  <sheetData>
    <row r="1" spans="1:10">
      <c r="A1" s="1" t="s">
        <v>57</v>
      </c>
    </row>
    <row r="2" spans="1:10">
      <c r="A2" t="s">
        <v>58</v>
      </c>
      <c r="B2" t="s">
        <v>59</v>
      </c>
    </row>
    <row r="4" spans="1:10">
      <c r="A4" t="s">
        <v>44</v>
      </c>
      <c r="B4" s="3">
        <v>1</v>
      </c>
      <c r="C4" s="3">
        <v>0</v>
      </c>
      <c r="D4" s="3">
        <v>0</v>
      </c>
      <c r="E4" s="3">
        <f>SUM(B4:D4)</f>
        <v>0</v>
      </c>
    </row>
    <row r="5" spans="1:10">
      <c r="A5" t="s">
        <v>45</v>
      </c>
      <c r="B5" s="3">
        <v>159</v>
      </c>
      <c r="C5" s="3">
        <v>160</v>
      </c>
      <c r="D5" s="3">
        <v>160</v>
      </c>
      <c r="E5" s="3">
        <f>SUM(B5:D5)</f>
        <v>0</v>
      </c>
    </row>
    <row r="6" spans="1:10">
      <c r="A6" t="s">
        <v>64</v>
      </c>
      <c r="E6" s="3">
        <f>SUM(E4:E5)</f>
        <v>0</v>
      </c>
      <c r="F6" t="s">
        <v>65</v>
      </c>
      <c r="G6" s="3">
        <f>Inputs!B5</f>
        <v>0</v>
      </c>
    </row>
    <row r="8" spans="1:10">
      <c r="A8" s="4" t="s">
        <v>66</v>
      </c>
    </row>
    <row r="9" spans="1:10">
      <c r="A9" t="s">
        <v>50</v>
      </c>
      <c r="B9" t="s">
        <v>67</v>
      </c>
      <c r="C9" t="s">
        <v>68</v>
      </c>
      <c r="D9" t="s">
        <v>69</v>
      </c>
      <c r="E9" t="s">
        <v>70</v>
      </c>
      <c r="G9" s="4" t="s">
        <v>71</v>
      </c>
    </row>
    <row r="10" spans="1:10">
      <c r="A10" t="s">
        <v>17</v>
      </c>
      <c r="B10" s="5">
        <f>(Scenarios!B14*B4 + Scenarios!C14*B5)</f>
        <v>0</v>
      </c>
      <c r="C10" s="5">
        <f>(Scenarios!B14*C4 + Scenarios!C14*C5)</f>
        <v>0</v>
      </c>
      <c r="D10" s="5">
        <f>(Scenarios!B14*D4 + Scenarios!C14*D5)</f>
        <v>0</v>
      </c>
      <c r="E10" s="5">
        <f>SUM(B10:D10)</f>
        <v>0</v>
      </c>
      <c r="G10" t="s">
        <v>60</v>
      </c>
      <c r="H10" t="s">
        <v>61</v>
      </c>
      <c r="I10" t="s">
        <v>62</v>
      </c>
      <c r="J10" t="s">
        <v>70</v>
      </c>
    </row>
    <row r="11" spans="1:10">
      <c r="A11" t="s">
        <v>18</v>
      </c>
      <c r="B11" s="5">
        <f>(Scenarios!B15*B4 + Scenarios!C15*B5)</f>
        <v>0</v>
      </c>
      <c r="C11" s="5">
        <f>(Scenarios!B15*C4 + Scenarios!C15*C5)</f>
        <v>0</v>
      </c>
      <c r="D11" s="5">
        <f>(Scenarios!B15*D4 + Scenarios!C15*D5)</f>
        <v>0</v>
      </c>
      <c r="E11" s="5">
        <f>SUM(B11:D11)</f>
        <v>0</v>
      </c>
      <c r="G11" s="3">
        <f>B11 * Scenarios!B4</f>
        <v>0</v>
      </c>
      <c r="H11" s="3">
        <f>C11 * Scenarios!B4</f>
        <v>0</v>
      </c>
      <c r="I11" s="3">
        <f>D11 * Scenarios!B4</f>
        <v>0</v>
      </c>
      <c r="J11" s="3">
        <f>E11 * Scenarios!B4</f>
        <v>0</v>
      </c>
    </row>
    <row r="12" spans="1:10">
      <c r="A12" t="s">
        <v>19</v>
      </c>
      <c r="B12" s="5">
        <f>(Scenarios!B16*B4 + Scenarios!C16*B5)</f>
        <v>0</v>
      </c>
      <c r="C12" s="5">
        <f>(Scenarios!B16*C4 + Scenarios!C16*C5)</f>
        <v>0</v>
      </c>
      <c r="D12" s="5">
        <f>(Scenarios!B16*D4 + Scenarios!C16*D5)</f>
        <v>0</v>
      </c>
      <c r="E12" s="5">
        <f>SUM(B12:D12)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 s="1" t="s">
        <v>72</v>
      </c>
    </row>
    <row r="3" spans="1:1">
      <c r="A3" t="s">
        <v>73</v>
      </c>
    </row>
    <row r="4" spans="1:1">
      <c r="A4" t="s">
        <v>74</v>
      </c>
    </row>
    <row r="5" spans="1:1">
      <c r="A5" t="s">
        <v>75</v>
      </c>
    </row>
    <row r="7" spans="1:1">
      <c r="A7" t="s">
        <v>76</v>
      </c>
    </row>
    <row r="9" spans="1:1">
      <c r="A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Scenarios</vt:lpstr>
      <vt:lpstr>Phasing</vt:lpstr>
      <vt:lpstr>Quote_Notes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2025-11-01T17:01:05Z</dcterms:created>
  <dcterms:modified xsi:type="dcterms:W3CDTF">2025-11-01T17:01:05Z</dcterms:modified>
</cp:coreProperties>
</file>